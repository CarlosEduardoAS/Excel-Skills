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ear\OneDrive\Excel-Skills\excel_DataViz\dynamic_visualizations\"/>
    </mc:Choice>
  </mc:AlternateContent>
  <xr:revisionPtr revIDLastSave="0" documentId="13_ncr:1_{7E265474-9E68-439E-B34A-ADB888DDCC8E}" xr6:coauthVersionLast="47" xr6:coauthVersionMax="47" xr10:uidLastSave="{00000000-0000-0000-0000-000000000000}"/>
  <bookViews>
    <workbookView xWindow="14400" yWindow="0" windowWidth="14400" windowHeight="156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P1" i="22"/>
  <c r="O1" i="22"/>
  <c r="N1" i="22"/>
  <c r="J17" i="22"/>
  <c r="J18" i="22"/>
  <c r="J19" i="22"/>
  <c r="J20" i="22"/>
  <c r="J21" i="22"/>
  <c r="J22" i="22"/>
  <c r="J23" i="22"/>
  <c r="J24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I18" i="22"/>
  <c r="I19" i="22"/>
  <c r="I20" i="22"/>
  <c r="I21" i="22"/>
  <c r="I22" i="22"/>
  <c r="I23" i="22"/>
  <c r="I24" i="22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<sst xmlns="http://schemas.openxmlformats.org/spreadsheetml/2006/main" count="107" uniqueCount="75">
  <si>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</si>
  <si>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</si>
  <si>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</si>
  <si>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</si>
  <si>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</si>
  <si>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</si>
  <si>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</si>
  <si>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</si>
  <si>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</si>
  <si>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</si>
  <si>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</si>
  <si>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</si>
  <si>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</si>
  <si>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</si>
  <si>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</si>
  <si>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</si>
  <si>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</si>
  <si>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</si>
  <si>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</si>
  <si>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</si>
  <si>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</si>
  <si>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</si>
  <si>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</si>
  <si>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</si>
  <si>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</si>
  <si>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</si>
  <si>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</si>
  <si>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</si>
  <si>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</si>
  <si>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</si>
  <si>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</si>
  <si>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</si>
  <si>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</si>
  <si>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</si>
  <si>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</si>
  <si>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</si>
  <si>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</si>
  <si>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</si>
  <si>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</si>
  <si>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</si>
  <si>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</si>
  <si>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</si>
  <si>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</si>
  <si>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</si>
  <si>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</si>
  <si>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</si>
  <si>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</si>
  <si>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</si>
  <si>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</si>
  <si>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</si>
  <si>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</si>
  <si>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</si>
  <si>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</si>
  <si>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</si>
  <si>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</si>
  <si>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</si>
  <si>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</si>
  <si>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</si>
  <si>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</si>
  <si>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</si>
  <si>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</si>
  <si>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</si>
  <si>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</si>
  <si>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</si>
  <si>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</si>
  <si>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</si>
  <si>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</si>
  <si>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</si>
  <si>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</si>
  <si>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</si>
  <si>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</si>
  <si>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</si>
  <si>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</si>
  <si>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</si>
  <si>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▲▼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</si>
</sst>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21" formatCode="[Green]0.0%;[Red]\-0.0%;"/>
    <numFmt numFmtId="223" formatCode="[Red][&gt;0.01]\▲;[Color10][&lt;-0.01]\▼;[Black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22" fillId="33" borderId="0" xfId="0" applyFont="1" applyFill="1"/>
    <xf numFmtId="0" fontId="29" fillId="33" borderId="0" xfId="0" applyFont="1" applyFill="1" applyAlignment="1">
      <alignment horizontal="center"/>
    </xf>
    <xf numFmtId="0" fontId="29" fillId="33" borderId="0" xfId="0" applyFont="1" applyFill="1"/>
    <xf numFmtId="0" fontId="29" fillId="33" borderId="0" xfId="43" applyNumberFormat="1" applyFont="1" applyFill="1" applyBorder="1"/>
    <xf numFmtId="9" fontId="30" fillId="33" borderId="0" xfId="43" applyFont="1" applyFill="1" applyBorder="1" applyAlignment="1">
      <alignment horizontal="left" vertical="center" wrapText="1"/>
    </xf>
    <xf numFmtId="10" fontId="1" fillId="33" borderId="0" xfId="43" applyNumberFormat="1" applyFont="1" applyFill="1" applyBorder="1" applyAlignment="1"/>
    <xf numFmtId="10" fontId="1" fillId="33" borderId="0" xfId="43" applyNumberFormat="1" applyFont="1" applyFill="1" applyBorder="1"/>
    <xf numFmtId="10" fontId="17" fillId="33" borderId="0" xfId="0" applyNumberFormat="1" applyFont="1" applyFill="1"/>
    <xf numFmtId="221" fontId="17" fillId="33" borderId="0" xfId="43" applyNumberFormat="1" applyFont="1" applyFill="1" applyBorder="1" applyAlignment="1">
      <alignment horizontal="center" vertical="center" wrapText="1"/>
    </xf>
    <xf numFmtId="223" fontId="17" fillId="33" borderId="0" xfId="18" applyNumberForma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36953</xdr:colOff>
      <xdr:row>2</xdr:row>
      <xdr:rowOff>169939</xdr:rowOff>
    </xdr:from>
    <xdr:to>
      <xdr:col>17</xdr:col>
      <xdr:colOff>65920</xdr:colOff>
      <xdr:row>26</xdr:row>
      <xdr:rowOff>55172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9928" y="703339"/>
          <a:ext cx="4305692" cy="4228633"/>
        </a:xfrm>
        <a:prstGeom prst="rect">
          <a:avLst/>
        </a:prstGeom>
      </xdr:spPr>
    </xdr:pic>
    <xdr:clientData/>
  </xdr:twoCellAnchor>
  <xdr:twoCellAnchor editAs="absolute">
    <xdr:from>
      <xdr:col>13</xdr:col>
      <xdr:colOff>96123</xdr:colOff>
      <xdr:row>13</xdr:row>
      <xdr:rowOff>53954</xdr:rowOff>
    </xdr:from>
    <xdr:to>
      <xdr:col>13</xdr:col>
      <xdr:colOff>276123</xdr:colOff>
      <xdr:row>14</xdr:row>
      <xdr:rowOff>47545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9382998" y="2578079"/>
          <a:ext cx="180000" cy="174566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661499</xdr:colOff>
      <xdr:row>9</xdr:row>
      <xdr:rowOff>172807</xdr:rowOff>
    </xdr:from>
    <xdr:to>
      <xdr:col>14</xdr:col>
      <xdr:colOff>841499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663976</xdr:colOff>
      <xdr:row>16</xdr:row>
      <xdr:rowOff>155726</xdr:rowOff>
    </xdr:from>
    <xdr:to>
      <xdr:col>15</xdr:col>
      <xdr:colOff>843976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667520</xdr:colOff>
      <xdr:row>9</xdr:row>
      <xdr:rowOff>171877</xdr:rowOff>
    </xdr:from>
    <xdr:to>
      <xdr:col>15</xdr:col>
      <xdr:colOff>846250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783022</xdr:colOff>
      <xdr:row>15</xdr:row>
      <xdr:rowOff>117370</xdr:rowOff>
    </xdr:from>
    <xdr:to>
      <xdr:col>14</xdr:col>
      <xdr:colOff>963022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14767</xdr:colOff>
      <xdr:row>19</xdr:row>
      <xdr:rowOff>61532</xdr:rowOff>
    </xdr:from>
    <xdr:to>
      <xdr:col>16</xdr:col>
      <xdr:colOff>194501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130567" y="3671507"/>
          <a:ext cx="179734" cy="1739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667247</xdr:colOff>
      <xdr:row>20</xdr:row>
      <xdr:rowOff>161379</xdr:rowOff>
    </xdr:from>
    <xdr:to>
      <xdr:col>15</xdr:col>
      <xdr:colOff>847247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790172</xdr:colOff>
      <xdr:row>24</xdr:row>
      <xdr:rowOff>47229</xdr:rowOff>
    </xdr:from>
    <xdr:to>
      <xdr:col>15</xdr:col>
      <xdr:colOff>970172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304800</xdr:colOff>
      <xdr:row>27</xdr:row>
      <xdr:rowOff>28575</xdr:rowOff>
    </xdr:from>
    <xdr:to>
      <xdr:col>13</xdr:col>
      <xdr:colOff>660900</xdr:colOff>
      <xdr:row>29</xdr:row>
      <xdr:rowOff>26625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DADC5D0F-D008-5DCF-E1B0-4753C3C57A7F}"/>
            </a:ext>
          </a:extLst>
        </xdr:cNvPr>
        <xdr:cNvSpPr/>
      </xdr:nvSpPr>
      <xdr:spPr>
        <a:xfrm>
          <a:off x="8867775" y="508635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BEE709E-8D89-449F-89B1-A1DAB694C68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4.00%</a:t>
          </a:fld>
          <a:endParaRPr lang="pt-BR" sz="1100"/>
        </a:p>
      </xdr:txBody>
    </xdr:sp>
    <xdr:clientData/>
  </xdr:twoCellAnchor>
  <xdr:twoCellAnchor>
    <xdr:from>
      <xdr:col>14</xdr:col>
      <xdr:colOff>128588</xdr:colOff>
      <xdr:row>27</xdr:row>
      <xdr:rowOff>28575</xdr:rowOff>
    </xdr:from>
    <xdr:to>
      <xdr:col>15</xdr:col>
      <xdr:colOff>151313</xdr:colOff>
      <xdr:row>29</xdr:row>
      <xdr:rowOff>26625</xdr:rowOff>
    </xdr:to>
    <xdr:sp macro="" textlink="$O$1">
      <xdr:nvSpPr>
        <xdr:cNvPr id="3" name="Flowchart: Terminator 2">
          <a:extLst>
            <a:ext uri="{FF2B5EF4-FFF2-40B4-BE49-F238E27FC236}">
              <a16:creationId xmlns:a16="http://schemas.microsoft.com/office/drawing/2014/main" id="{906EFFA2-2252-863E-6E80-DDBF5C1E5077}"/>
            </a:ext>
          </a:extLst>
        </xdr:cNvPr>
        <xdr:cNvSpPr/>
      </xdr:nvSpPr>
      <xdr:spPr>
        <a:xfrm>
          <a:off x="10129838" y="508635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AFB396D-9012-4065-A255-57584C7754B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49.00%</a:t>
          </a:fld>
          <a:endParaRPr lang="pt-BR" sz="1100"/>
        </a:p>
      </xdr:txBody>
    </xdr:sp>
    <xdr:clientData/>
  </xdr:twoCellAnchor>
  <xdr:twoCellAnchor>
    <xdr:from>
      <xdr:col>15</xdr:col>
      <xdr:colOff>333375</xdr:colOff>
      <xdr:row>27</xdr:row>
      <xdr:rowOff>28575</xdr:rowOff>
    </xdr:from>
    <xdr:to>
      <xdr:col>16</xdr:col>
      <xdr:colOff>356100</xdr:colOff>
      <xdr:row>29</xdr:row>
      <xdr:rowOff>26625</xdr:rowOff>
    </xdr:to>
    <xdr:sp macro="" textlink="$P$1">
      <xdr:nvSpPr>
        <xdr:cNvPr id="4" name="Flowchart: Terminator 3">
          <a:extLst>
            <a:ext uri="{FF2B5EF4-FFF2-40B4-BE49-F238E27FC236}">
              <a16:creationId xmlns:a16="http://schemas.microsoft.com/office/drawing/2014/main" id="{6C030065-3F95-09A0-5C1F-4CCC2BE82D16}"/>
            </a:ext>
          </a:extLst>
        </xdr:cNvPr>
        <xdr:cNvSpPr/>
      </xdr:nvSpPr>
      <xdr:spPr>
        <a:xfrm>
          <a:off x="11391900" y="508635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41B06F1-A078-495A-BFB6-11DAD81B55B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47.00%</a:t>
          </a:fld>
          <a:endParaRPr lang="pt-BR" sz="1100"/>
        </a:p>
      </xdr:txBody>
    </xdr:sp>
    <xdr:clientData/>
  </xdr:twoCellAnchor>
  <xdr:twoCellAnchor editAs="oneCell">
    <xdr:from>
      <xdr:col>16</xdr:col>
      <xdr:colOff>123825</xdr:colOff>
      <xdr:row>25</xdr:row>
      <xdr:rowOff>128550</xdr:rowOff>
    </xdr:from>
    <xdr:to>
      <xdr:col>16</xdr:col>
      <xdr:colOff>555825</xdr:colOff>
      <xdr:row>28</xdr:row>
      <xdr:rowOff>17625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3179AC3-3516-46BE-926F-2157084E9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9625" y="48243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407175</xdr:colOff>
      <xdr:row>25</xdr:row>
      <xdr:rowOff>128550</xdr:rowOff>
    </xdr:from>
    <xdr:to>
      <xdr:col>14</xdr:col>
      <xdr:colOff>124800</xdr:colOff>
      <xdr:row>28</xdr:row>
      <xdr:rowOff>17625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AC93742-00C2-9A2C-21A0-14DDD7F7D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4050" y="48243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965588</xdr:colOff>
      <xdr:row>25</xdr:row>
      <xdr:rowOff>128550</xdr:rowOff>
    </xdr:from>
    <xdr:to>
      <xdr:col>15</xdr:col>
      <xdr:colOff>340313</xdr:colOff>
      <xdr:row>28</xdr:row>
      <xdr:rowOff>17625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3DB936-C19A-9FB8-9775-264FC2856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6838" y="4824375"/>
          <a:ext cx="432000" cy="43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5" sqref="B5:I12"/>
    </sheetView>
  </sheetViews>
  <sheetFormatPr defaultColWidth="9" defaultRowHeight="14.85" customHeight="1" x14ac:dyDescent="0.25"/>
  <cols>
    <col min="1" max="1" width="1.140625" style="6" customWidth="1"/>
    <col min="2" max="2" width="14" style="76" customWidth="1"/>
    <col min="3" max="9" width="13" style="2" customWidth="1"/>
    <col min="10" max="10" width="6.140625" style="4" customWidth="1"/>
    <col min="11" max="11" width="12.28515625" style="2" customWidth="1"/>
    <col min="12" max="12" width="3.85546875" style="1" customWidth="1"/>
    <col min="13" max="13" width="10.85546875" style="1" customWidth="1"/>
    <col min="14" max="14" width="10.7109375" style="1" customWidth="1"/>
    <col min="15" max="16" width="15.85546875" style="1" customWidth="1"/>
    <col min="17" max="19" width="10.85546875" style="1" customWidth="1"/>
    <col min="20" max="21" width="10.85546875" style="10" hidden="1" customWidth="1"/>
    <col min="22" max="24" width="10.85546875" style="1" customWidth="1"/>
    <col min="25" max="28" width="6.85546875" style="1" customWidth="1"/>
    <col min="29" max="16384" width="9" style="1"/>
  </cols>
  <sheetData>
    <row r="1" spans="1:21" s="8" customFormat="1" ht="28.15" customHeight="1" x14ac:dyDescent="0.3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2" t="s">
        <v>1</v>
      </c>
      <c r="L1" s="83"/>
      <c r="M1" s="84"/>
      <c r="N1" s="86">
        <f>VLOOKUP(K1,B29:E36,2,0)</f>
        <v>0.04</v>
      </c>
      <c r="O1" s="87">
        <f>VLOOKUP(K1,B29:E36,3,0)</f>
        <v>0.49</v>
      </c>
      <c r="P1" s="87">
        <f>VLOOKUP(K1,B29:E36,4,0)</f>
        <v>0.47</v>
      </c>
      <c r="Q1" s="83"/>
      <c r="T1" s="9"/>
      <c r="U1" s="9"/>
    </row>
    <row r="2" spans="1:21" ht="14.85" customHeight="1" x14ac:dyDescent="0.25">
      <c r="I2" s="81"/>
      <c r="M2" s="2"/>
      <c r="O2" s="2"/>
    </row>
    <row r="3" spans="1:21" ht="14.85" customHeight="1" x14ac:dyDescent="0.25">
      <c r="B3" s="80" t="s">
        <v>8</v>
      </c>
      <c r="I3" s="81" t="s">
        <v>74</v>
      </c>
      <c r="M3" s="2"/>
      <c r="N3" s="2"/>
      <c r="O3" s="2"/>
      <c r="T3" s="11" t="s">
        <v>17</v>
      </c>
      <c r="U3" s="12" t="s">
        <v>45</v>
      </c>
    </row>
    <row r="4" spans="1:21" ht="14.85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5">
      <c r="B5" s="77" t="s">
        <v>1</v>
      </c>
      <c r="C5" s="5">
        <v>2.0828402366863901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90">
        <f>I5</f>
        <v>1.0743048481739459E-2</v>
      </c>
      <c r="T5" s="16" t="s">
        <v>19</v>
      </c>
      <c r="U5" s="17" t="s">
        <v>47</v>
      </c>
    </row>
    <row r="6" spans="1:21" ht="14.85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90">
        <f t="shared" ref="J6:J12" si="1">I6</f>
        <v>-7.8537336340878117E-4</v>
      </c>
      <c r="T6" s="18" t="s">
        <v>20</v>
      </c>
      <c r="U6" s="19" t="s">
        <v>48</v>
      </c>
    </row>
    <row r="7" spans="1:21" ht="14.85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90">
        <f t="shared" si="1"/>
        <v>-5.5327675408438859E-2</v>
      </c>
      <c r="T7" s="20" t="s">
        <v>21</v>
      </c>
      <c r="U7" s="21" t="s">
        <v>49</v>
      </c>
    </row>
    <row r="8" spans="1:21" ht="14.85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90">
        <f t="shared" si="1"/>
        <v>-2.6113250720505299E-3</v>
      </c>
      <c r="T8" s="22" t="s">
        <v>22</v>
      </c>
      <c r="U8" s="23" t="s">
        <v>50</v>
      </c>
    </row>
    <row r="9" spans="1:21" ht="14.85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90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90">
        <f t="shared" si="1"/>
        <v>6.7924635952900658E-3</v>
      </c>
      <c r="N10" s="10"/>
      <c r="O10" s="4"/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90">
        <f t="shared" si="1"/>
        <v>-7.5108984348842833E-3</v>
      </c>
      <c r="N11" s="10"/>
      <c r="O11" s="28" t="s">
        <v>3</v>
      </c>
      <c r="P11" s="28"/>
      <c r="Q11" s="10"/>
      <c r="T11" s="18" t="s">
        <v>25</v>
      </c>
      <c r="U11" s="29" t="s">
        <v>53</v>
      </c>
    </row>
    <row r="12" spans="1:21" ht="14.85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90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I14" s="88"/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85" customHeight="1" x14ac:dyDescent="0.25">
      <c r="B17" s="77" t="s">
        <v>1</v>
      </c>
      <c r="C17" s="85">
        <v>0.76</v>
      </c>
      <c r="D17" s="85">
        <v>0.77</v>
      </c>
      <c r="E17" s="85">
        <v>0.76</v>
      </c>
      <c r="F17" s="85">
        <v>0.74</v>
      </c>
      <c r="G17" s="85">
        <v>0.72</v>
      </c>
      <c r="H17" s="85">
        <v>0.53</v>
      </c>
      <c r="I17" s="89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28" t="s">
        <v>2</v>
      </c>
      <c r="Q17" s="10"/>
      <c r="T17" s="40" t="s">
        <v>31</v>
      </c>
      <c r="U17" s="41" t="s">
        <v>59</v>
      </c>
    </row>
    <row r="18" spans="1:21" ht="14.85" customHeight="1" x14ac:dyDescent="0.25">
      <c r="B18" s="77" t="s">
        <v>2</v>
      </c>
      <c r="C18" s="85">
        <v>0.62</v>
      </c>
      <c r="D18" s="85">
        <v>0.6</v>
      </c>
      <c r="E18" s="85">
        <v>0.65</v>
      </c>
      <c r="F18" s="85">
        <v>0.66</v>
      </c>
      <c r="G18" s="85">
        <v>0.64</v>
      </c>
      <c r="H18" s="85">
        <v>0.62</v>
      </c>
      <c r="I18" s="89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85" customHeight="1" x14ac:dyDescent="0.25">
      <c r="B19" s="77" t="s">
        <v>3</v>
      </c>
      <c r="C19" s="85">
        <v>0.12</v>
      </c>
      <c r="D19" s="85">
        <v>0.19</v>
      </c>
      <c r="E19" s="85">
        <v>0.17</v>
      </c>
      <c r="F19" s="85">
        <v>0.22</v>
      </c>
      <c r="G19" s="85">
        <v>0.2</v>
      </c>
      <c r="H19" s="85">
        <v>0.15</v>
      </c>
      <c r="I19" s="89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85" customHeight="1" x14ac:dyDescent="0.25">
      <c r="B20" s="77" t="s">
        <v>10</v>
      </c>
      <c r="C20" s="85">
        <v>0.48</v>
      </c>
      <c r="D20" s="85">
        <v>0.46</v>
      </c>
      <c r="E20" s="85">
        <v>0.5</v>
      </c>
      <c r="F20" s="85">
        <v>0.47</v>
      </c>
      <c r="G20" s="85">
        <v>0.48</v>
      </c>
      <c r="H20" s="85">
        <v>0.47</v>
      </c>
      <c r="I20" s="89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85" customHeight="1" x14ac:dyDescent="0.25">
      <c r="B21" s="77" t="s">
        <v>4</v>
      </c>
      <c r="C21" s="85">
        <v>0.79</v>
      </c>
      <c r="D21" s="85">
        <v>0.8</v>
      </c>
      <c r="E21" s="85">
        <v>0.82</v>
      </c>
      <c r="F21" s="85">
        <v>0.83</v>
      </c>
      <c r="G21" s="85">
        <v>0.82</v>
      </c>
      <c r="H21" s="85">
        <v>0.82</v>
      </c>
      <c r="I21" s="89">
        <f t="shared" si="2"/>
        <v>3.7340939014227637E-3</v>
      </c>
      <c r="J21" s="3">
        <f t="shared" si="3"/>
        <v>3.7340939014227637E-3</v>
      </c>
      <c r="N21" s="10"/>
      <c r="O21" s="10"/>
      <c r="P21" s="28" t="s">
        <v>12</v>
      </c>
      <c r="Q21" s="28"/>
      <c r="T21" s="47" t="s">
        <v>35</v>
      </c>
      <c r="U21" s="48" t="s">
        <v>63</v>
      </c>
    </row>
    <row r="22" spans="1:21" ht="14.85" customHeight="1" x14ac:dyDescent="0.25">
      <c r="B22" s="77" t="s">
        <v>11</v>
      </c>
      <c r="C22" s="85">
        <v>0.4</v>
      </c>
      <c r="D22" s="85">
        <v>0.46</v>
      </c>
      <c r="E22" s="85">
        <v>0.46</v>
      </c>
      <c r="F22" s="85">
        <v>0.48</v>
      </c>
      <c r="G22" s="85">
        <v>0.53</v>
      </c>
      <c r="H22" s="85">
        <v>0.53</v>
      </c>
      <c r="I22" s="89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5">
      <c r="B23" s="77" t="s">
        <v>12</v>
      </c>
      <c r="C23" s="85">
        <v>0.57999999999999996</v>
      </c>
      <c r="D23" s="85">
        <v>0.61</v>
      </c>
      <c r="E23" s="85">
        <v>0.65</v>
      </c>
      <c r="F23" s="85">
        <v>0.7</v>
      </c>
      <c r="G23" s="85">
        <v>0.73</v>
      </c>
      <c r="H23" s="85">
        <v>0.72</v>
      </c>
      <c r="I23" s="89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5">
      <c r="B24" s="77" t="s">
        <v>5</v>
      </c>
      <c r="C24" s="85">
        <v>0.35</v>
      </c>
      <c r="D24" s="85">
        <v>0.35</v>
      </c>
      <c r="E24" s="85">
        <v>0.41</v>
      </c>
      <c r="F24" s="85">
        <v>0.48</v>
      </c>
      <c r="G24" s="85">
        <v>0.53</v>
      </c>
      <c r="H24" s="85">
        <v>0.56999999999999995</v>
      </c>
      <c r="I24" s="89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28"/>
      <c r="T25" s="56" t="s">
        <v>39</v>
      </c>
      <c r="U25" s="57" t="s">
        <v>67</v>
      </c>
    </row>
    <row r="26" spans="1:21" s="2" customFormat="1" ht="14.85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85" customHeight="1" x14ac:dyDescent="0.25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85" customHeight="1" x14ac:dyDescent="0.25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85" customHeight="1" x14ac:dyDescent="0.25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85" customHeight="1" x14ac:dyDescent="0.25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85" customHeight="1" x14ac:dyDescent="0.25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85" customHeight="1" x14ac:dyDescent="0.25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85" customHeight="1" x14ac:dyDescent="0.25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85" customHeight="1" x14ac:dyDescent="0.25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5">
      <c r="B39" s="78"/>
    </row>
    <row r="42" spans="2:11" ht="14.85" customHeight="1" x14ac:dyDescent="0.25">
      <c r="B42" s="78"/>
      <c r="J42" s="13"/>
    </row>
    <row r="43" spans="2:11" ht="14.85" customHeight="1" x14ac:dyDescent="0.25">
      <c r="B43" s="78"/>
      <c r="F43" s="13"/>
      <c r="G43" s="13"/>
      <c r="H43" s="13"/>
      <c r="I43" s="13"/>
      <c r="K43" s="13"/>
    </row>
    <row r="44" spans="2:11" ht="14.85" customHeight="1" x14ac:dyDescent="0.25">
      <c r="B44" s="78"/>
    </row>
    <row r="45" spans="2:11" ht="14.85" customHeight="1" x14ac:dyDescent="0.25">
      <c r="B45" s="78"/>
    </row>
    <row r="46" spans="2:11" ht="14.85" customHeight="1" x14ac:dyDescent="0.25">
      <c r="B46" s="78"/>
    </row>
    <row r="47" spans="2:11" ht="14.85" customHeight="1" x14ac:dyDescent="0.25">
      <c r="B47" s="78"/>
    </row>
    <row r="49" spans="2:5" ht="14.85" customHeight="1" x14ac:dyDescent="0.25">
      <c r="B49" s="78"/>
    </row>
    <row r="50" spans="2:5" ht="14.85" customHeight="1" x14ac:dyDescent="0.25">
      <c r="B50" s="78"/>
    </row>
    <row r="51" spans="2:5" ht="14.85" customHeight="1" x14ac:dyDescent="0.25">
      <c r="B51" s="78"/>
    </row>
    <row r="52" spans="2:5" ht="14.85" customHeight="1" x14ac:dyDescent="0.25">
      <c r="C52" s="70"/>
      <c r="D52" s="70"/>
      <c r="E52" s="70"/>
    </row>
    <row r="63" spans="2:5" ht="14.85" customHeight="1" x14ac:dyDescent="0.25">
      <c r="B63" s="79" t="s">
        <v>6</v>
      </c>
    </row>
  </sheetData>
  <phoneticPr fontId="23" type="noConversion"/>
  <conditionalFormatting sqref="E29:E3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{9D2C0CF1-6B6A-49A3-9649-45196FB00014}</x14:id>
        </ext>
      </extLst>
    </cfRule>
  </conditionalFormatting>
  <conditionalFormatting sqref="C5:H12">
    <cfRule type="top10" dxfId="10" priority="1" bottom="1" rank="5"/>
  </conditionalFormatting>
  <conditionalFormatting sqref="D29:D36">
    <cfRule type="cellIs" dxfId="9" priority="15" operator="lessThan">
      <formula>0.48</formula>
    </cfRule>
  </conditionalFormatting>
  <conditionalFormatting sqref="O11:P11">
    <cfRule type="expression" dxfId="8" priority="14">
      <formula>O11=$K$1</formula>
    </cfRule>
  </conditionalFormatting>
  <conditionalFormatting sqref="N14:N15">
    <cfRule type="expression" dxfId="7" priority="12">
      <formula>N14=$K$1</formula>
    </cfRule>
  </conditionalFormatting>
  <conditionalFormatting sqref="O16:O17">
    <cfRule type="expression" dxfId="6" priority="11">
      <formula>O16=$K$1</formula>
    </cfRule>
  </conditionalFormatting>
  <conditionalFormatting sqref="P17:P18">
    <cfRule type="expression" dxfId="5" priority="9">
      <formula>P17=$K$1</formula>
    </cfRule>
  </conditionalFormatting>
  <conditionalFormatting sqref="Q20:Q21">
    <cfRule type="expression" dxfId="4" priority="6">
      <formula>Q20=$K$1</formula>
    </cfRule>
  </conditionalFormatting>
  <conditionalFormatting sqref="P21:P22">
    <cfRule type="expression" dxfId="3" priority="4">
      <formula>P21=$K$1</formula>
    </cfRule>
  </conditionalFormatting>
  <conditionalFormatting sqref="Q25">
    <cfRule type="expression" dxfId="2" priority="3">
      <formula>Q25=$K$1</formula>
    </cfRule>
  </conditionalFormatting>
  <conditionalFormatting sqref="P25:P26">
    <cfRule type="expression" dxfId="1" priority="2">
      <formula>P25=$K$1</formula>
    </cfRule>
  </conditionalFormatting>
  <conditionalFormatting sqref="B5:I12">
    <cfRule type="expression" dxfId="0" priority="16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2C0CF1-6B6A-49A3-9649-45196FB000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8" id="{31FE648B-6881-4903-83AC-7E1C02236D9B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1FD9C473-2945-4348-A850-A1747186AF8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184D053A-67D0-4756-A64E-CFA13B6018F4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Carlos Eduardo Aragão Simões</cp:lastModifiedBy>
  <dcterms:created xsi:type="dcterms:W3CDTF">2020-03-03T02:51:49Z</dcterms:created>
  <dcterms:modified xsi:type="dcterms:W3CDTF">2023-02-03T17:43:40Z</dcterms:modified>
</cp:coreProperties>
</file>